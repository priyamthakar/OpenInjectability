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xiliumhealth419-my.sharepoint.com/personal/gnunn_stratumanalytical_ca/Documents/Documents/Stratum analytical/Proj-Syfovre/Paper-Syfovre/Paper resources/"/>
    </mc:Choice>
  </mc:AlternateContent>
  <xr:revisionPtr revIDLastSave="7" documentId="8_{832F2C65-6169-4921-8C17-25A3C10D0108}" xr6:coauthVersionLast="47" xr6:coauthVersionMax="47" xr10:uidLastSave="{95519B70-4706-4282-8433-3C507CDCC875}"/>
  <bookViews>
    <workbookView xWindow="-110" yWindow="-110" windowWidth="25820" windowHeight="15500" xr2:uid="{5900FF56-865B-4F04-BCAA-EDE95458A904}"/>
  </bookViews>
  <sheets>
    <sheet name="wide summary (3)" sheetId="3" r:id="rId1"/>
  </sheets>
  <definedNames>
    <definedName name="_xlnm._FilterDatabase" localSheetId="0" hidden="1">'wide summary (3)'!$B$2:$B$32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3" l="1"/>
  <c r="G47" i="3"/>
  <c r="H45" i="3"/>
  <c r="G45" i="3"/>
  <c r="H43" i="3"/>
  <c r="G43" i="3"/>
  <c r="H42" i="3"/>
  <c r="G42" i="3"/>
  <c r="G41" i="3"/>
  <c r="G40" i="3"/>
  <c r="H38" i="3"/>
  <c r="G38" i="3"/>
  <c r="H37" i="3"/>
  <c r="G37" i="3"/>
  <c r="H36" i="3"/>
  <c r="G36" i="3"/>
  <c r="H35" i="3"/>
  <c r="G35" i="3"/>
  <c r="H34" i="3"/>
  <c r="G34" i="3"/>
  <c r="H33" i="3"/>
  <c r="G33" i="3"/>
</calcChain>
</file>

<file path=xl/sharedStrings.xml><?xml version="1.0" encoding="utf-8"?>
<sst xmlns="http://schemas.openxmlformats.org/spreadsheetml/2006/main" count="347" uniqueCount="48">
  <si>
    <t>date</t>
  </si>
  <si>
    <t>syringe</t>
  </si>
  <si>
    <t>fluid_density</t>
  </si>
  <si>
    <t>EYEID</t>
  </si>
  <si>
    <t>type</t>
  </si>
  <si>
    <t>needle</t>
  </si>
  <si>
    <t>IOP_prior</t>
  </si>
  <si>
    <t>IOP_post</t>
  </si>
  <si>
    <t>inj_max</t>
  </si>
  <si>
    <t>inj_mean</t>
  </si>
  <si>
    <t>inj_time</t>
  </si>
  <si>
    <t>reflux</t>
  </si>
  <si>
    <t>Feb-02-2025</t>
  </si>
  <si>
    <t>StaClear</t>
  </si>
  <si>
    <t>120 cP</t>
  </si>
  <si>
    <t>2025-01-OD</t>
  </si>
  <si>
    <t>phakic</t>
  </si>
  <si>
    <t>27G</t>
  </si>
  <si>
    <t>n</t>
  </si>
  <si>
    <t>ClearJect</t>
  </si>
  <si>
    <t>y</t>
  </si>
  <si>
    <t>ZR0.2</t>
  </si>
  <si>
    <t>2025-02-OD</t>
  </si>
  <si>
    <t>pseudophakic</t>
  </si>
  <si>
    <t>BD</t>
  </si>
  <si>
    <t>2025-03-OD</t>
  </si>
  <si>
    <t>2025-04-OD</t>
  </si>
  <si>
    <t>2025-05-OD</t>
  </si>
  <si>
    <t>15 cP</t>
  </si>
  <si>
    <t>2025-04-OS</t>
  </si>
  <si>
    <t>2025-02-OS</t>
  </si>
  <si>
    <t>2025-06-OS</t>
  </si>
  <si>
    <t>2025-05-OS</t>
  </si>
  <si>
    <t>2025-06-OD</t>
  </si>
  <si>
    <t>2025-03-OS</t>
  </si>
  <si>
    <t>Sep-16-2024</t>
  </si>
  <si>
    <t>2024-01-OS</t>
  </si>
  <si>
    <t>2024-02-OS</t>
  </si>
  <si>
    <t>2024-01-OD</t>
  </si>
  <si>
    <t>2024-02-OD</t>
  </si>
  <si>
    <t>ND</t>
  </si>
  <si>
    <t>2024-03-OD</t>
  </si>
  <si>
    <t>2024-03-OS</t>
  </si>
  <si>
    <t>2024-04-OS</t>
  </si>
  <si>
    <t>2024-04-OD</t>
  </si>
  <si>
    <t>Time (s) -&gt;</t>
  </si>
  <si>
    <t>Eye information and injection summary</t>
  </si>
  <si>
    <t>Raw injection pressure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</si>
</sst>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" fillId="0" borderId="0" xfId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3376-F724-4645-88A8-2B3AB6D4DE3E}">
  <dimension ref="A1:AU50"/>
  <sheetViews>
    <sheetView tabSelected="1" topLeftCell="A10" zoomScale="85" zoomScaleNormal="85" workbookViewId="0">
      <selection activeCell="J42" sqref="J42"/>
    </sheetView>
  </sheetViews>
  <sheetFormatPr defaultRowHeight="14.5" x14ac:dyDescent="0.35"/>
  <cols>
    <col min="1" max="1" width="12.1796875" bestFit="1" customWidth="1"/>
    <col min="2" max="2" width="9" bestFit="1" customWidth="1"/>
    <col min="4" max="4" width="13.26953125" bestFit="1" customWidth="1"/>
    <col min="5" max="5" width="13.453125" bestFit="1" customWidth="1"/>
    <col min="6" max="6" width="13.453125" customWidth="1"/>
    <col min="7" max="7" width="11.81640625" bestFit="1" customWidth="1"/>
  </cols>
  <sheetData>
    <row r="1" spans="1:47" x14ac:dyDescent="0.35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 t="s">
        <v>47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45</v>
      </c>
      <c r="N2">
        <v>0</v>
      </c>
      <c r="O2">
        <v>0.5</v>
      </c>
      <c r="P2">
        <v>1</v>
      </c>
      <c r="Q2">
        <v>1.5</v>
      </c>
      <c r="R2">
        <v>2</v>
      </c>
      <c r="S2">
        <v>2.5</v>
      </c>
      <c r="T2">
        <v>3</v>
      </c>
      <c r="U2">
        <v>3.5</v>
      </c>
      <c r="V2">
        <v>4</v>
      </c>
      <c r="W2">
        <v>4.5</v>
      </c>
      <c r="X2">
        <v>5</v>
      </c>
      <c r="Y2">
        <v>5.5</v>
      </c>
      <c r="Z2">
        <v>6</v>
      </c>
      <c r="AA2">
        <v>6.5</v>
      </c>
      <c r="AB2">
        <v>7</v>
      </c>
      <c r="AC2">
        <v>7.5</v>
      </c>
      <c r="AD2">
        <v>8</v>
      </c>
      <c r="AE2">
        <v>8.5</v>
      </c>
      <c r="AF2">
        <v>9</v>
      </c>
      <c r="AG2">
        <v>9.5</v>
      </c>
      <c r="AH2">
        <v>10</v>
      </c>
      <c r="AI2">
        <v>10.5</v>
      </c>
      <c r="AJ2">
        <v>11</v>
      </c>
      <c r="AK2">
        <v>11.5</v>
      </c>
      <c r="AL2">
        <v>12</v>
      </c>
      <c r="AM2">
        <v>12.5</v>
      </c>
      <c r="AN2">
        <v>13</v>
      </c>
      <c r="AO2">
        <v>13.5</v>
      </c>
      <c r="AP2">
        <v>14</v>
      </c>
      <c r="AQ2">
        <v>14.5</v>
      </c>
      <c r="AR2">
        <v>15</v>
      </c>
      <c r="AS2">
        <v>15.5</v>
      </c>
      <c r="AT2">
        <v>16</v>
      </c>
      <c r="AU2">
        <v>16.5</v>
      </c>
    </row>
    <row r="3" spans="1:47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23</v>
      </c>
      <c r="H3">
        <v>20</v>
      </c>
      <c r="I3">
        <v>137</v>
      </c>
      <c r="J3">
        <v>85.4</v>
      </c>
      <c r="K3">
        <v>7.5</v>
      </c>
      <c r="L3" t="s">
        <v>18</v>
      </c>
      <c r="N3">
        <v>10</v>
      </c>
      <c r="O3">
        <v>41</v>
      </c>
      <c r="P3">
        <v>68</v>
      </c>
      <c r="Q3" s="2">
        <v>137</v>
      </c>
      <c r="R3">
        <v>124</v>
      </c>
      <c r="S3">
        <v>122</v>
      </c>
      <c r="T3">
        <v>111</v>
      </c>
      <c r="U3">
        <v>98</v>
      </c>
      <c r="V3">
        <v>92</v>
      </c>
      <c r="W3">
        <v>90</v>
      </c>
      <c r="X3">
        <v>89</v>
      </c>
      <c r="Y3">
        <v>87</v>
      </c>
      <c r="Z3">
        <v>80</v>
      </c>
      <c r="AA3">
        <v>76</v>
      </c>
      <c r="AB3">
        <v>71</v>
      </c>
      <c r="AC3">
        <v>70</v>
      </c>
    </row>
    <row r="4" spans="1:47" x14ac:dyDescent="0.35">
      <c r="A4" t="s">
        <v>12</v>
      </c>
      <c r="B4" t="s">
        <v>19</v>
      </c>
      <c r="C4" t="s">
        <v>14</v>
      </c>
      <c r="D4" t="s">
        <v>15</v>
      </c>
      <c r="E4" t="s">
        <v>16</v>
      </c>
      <c r="F4" t="s">
        <v>17</v>
      </c>
      <c r="G4">
        <v>18</v>
      </c>
      <c r="H4">
        <v>24</v>
      </c>
      <c r="I4">
        <v>177</v>
      </c>
      <c r="J4">
        <v>122.7</v>
      </c>
      <c r="K4">
        <v>8.39</v>
      </c>
      <c r="L4" t="s">
        <v>20</v>
      </c>
      <c r="N4">
        <v>36</v>
      </c>
      <c r="O4">
        <v>53</v>
      </c>
      <c r="P4">
        <v>70</v>
      </c>
      <c r="Q4">
        <v>80</v>
      </c>
      <c r="R4">
        <v>84</v>
      </c>
      <c r="S4">
        <v>85</v>
      </c>
      <c r="T4">
        <v>100</v>
      </c>
      <c r="U4">
        <v>111</v>
      </c>
      <c r="V4">
        <v>126</v>
      </c>
      <c r="W4">
        <v>133</v>
      </c>
      <c r="X4">
        <v>133</v>
      </c>
      <c r="Y4">
        <v>126</v>
      </c>
      <c r="Z4">
        <v>128</v>
      </c>
      <c r="AA4">
        <v>137</v>
      </c>
      <c r="AB4">
        <v>139</v>
      </c>
      <c r="AC4">
        <v>137</v>
      </c>
      <c r="AD4">
        <v>173</v>
      </c>
    </row>
    <row r="5" spans="1:47" x14ac:dyDescent="0.35">
      <c r="A5" t="s">
        <v>12</v>
      </c>
      <c r="B5" t="s">
        <v>21</v>
      </c>
      <c r="C5" t="s">
        <v>14</v>
      </c>
      <c r="D5" t="s">
        <v>15</v>
      </c>
      <c r="E5" t="s">
        <v>16</v>
      </c>
      <c r="F5" t="s">
        <v>17</v>
      </c>
      <c r="G5">
        <v>18</v>
      </c>
      <c r="H5">
        <v>29</v>
      </c>
      <c r="I5">
        <v>104</v>
      </c>
      <c r="J5">
        <v>88.8</v>
      </c>
      <c r="K5">
        <v>12</v>
      </c>
      <c r="L5" t="s">
        <v>18</v>
      </c>
      <c r="N5">
        <v>51</v>
      </c>
      <c r="O5">
        <v>75</v>
      </c>
      <c r="P5">
        <v>89</v>
      </c>
      <c r="Q5">
        <v>90</v>
      </c>
      <c r="R5">
        <v>93</v>
      </c>
      <c r="S5">
        <v>92</v>
      </c>
      <c r="T5">
        <v>89</v>
      </c>
      <c r="U5">
        <v>93</v>
      </c>
      <c r="V5">
        <v>90</v>
      </c>
      <c r="W5">
        <v>90</v>
      </c>
      <c r="X5">
        <v>94</v>
      </c>
      <c r="Y5">
        <v>92</v>
      </c>
      <c r="Z5">
        <v>92</v>
      </c>
      <c r="AA5">
        <v>90</v>
      </c>
      <c r="AB5">
        <v>85</v>
      </c>
      <c r="AC5">
        <v>100</v>
      </c>
      <c r="AD5" s="2">
        <v>104</v>
      </c>
      <c r="AE5">
        <v>100</v>
      </c>
      <c r="AF5">
        <v>93</v>
      </c>
      <c r="AG5">
        <v>92</v>
      </c>
      <c r="AH5">
        <v>85</v>
      </c>
      <c r="AI5">
        <v>81</v>
      </c>
      <c r="AJ5">
        <v>83</v>
      </c>
      <c r="AK5">
        <v>87</v>
      </c>
    </row>
    <row r="6" spans="1:47" x14ac:dyDescent="0.35">
      <c r="A6" t="s">
        <v>12</v>
      </c>
      <c r="B6" t="s">
        <v>13</v>
      </c>
      <c r="C6" t="s">
        <v>14</v>
      </c>
      <c r="D6" t="s">
        <v>22</v>
      </c>
      <c r="E6" t="s">
        <v>23</v>
      </c>
      <c r="F6" t="s">
        <v>17</v>
      </c>
      <c r="G6">
        <v>18</v>
      </c>
      <c r="H6">
        <v>30</v>
      </c>
      <c r="I6">
        <v>87</v>
      </c>
      <c r="J6">
        <v>69</v>
      </c>
      <c r="K6">
        <v>8.69</v>
      </c>
      <c r="L6" t="s">
        <v>18</v>
      </c>
      <c r="N6">
        <v>35</v>
      </c>
      <c r="O6">
        <v>64</v>
      </c>
      <c r="P6">
        <v>71</v>
      </c>
      <c r="Q6">
        <v>79</v>
      </c>
      <c r="R6">
        <v>81</v>
      </c>
      <c r="S6">
        <v>84</v>
      </c>
      <c r="T6">
        <v>79</v>
      </c>
      <c r="U6">
        <v>76</v>
      </c>
      <c r="V6">
        <v>76</v>
      </c>
      <c r="W6">
        <v>75</v>
      </c>
      <c r="X6">
        <v>70</v>
      </c>
      <c r="Y6">
        <v>68</v>
      </c>
      <c r="Z6">
        <v>68</v>
      </c>
      <c r="AA6">
        <v>68</v>
      </c>
      <c r="AB6">
        <v>58</v>
      </c>
      <c r="AC6">
        <v>59</v>
      </c>
      <c r="AD6">
        <v>63</v>
      </c>
      <c r="AE6" s="2">
        <v>87</v>
      </c>
      <c r="AF6">
        <v>76</v>
      </c>
    </row>
    <row r="7" spans="1:47" x14ac:dyDescent="0.35">
      <c r="A7" t="s">
        <v>12</v>
      </c>
      <c r="B7" t="s">
        <v>19</v>
      </c>
      <c r="C7" t="s">
        <v>14</v>
      </c>
      <c r="D7" t="s">
        <v>22</v>
      </c>
      <c r="E7" t="s">
        <v>23</v>
      </c>
      <c r="F7" t="s">
        <v>17</v>
      </c>
      <c r="G7">
        <v>19</v>
      </c>
      <c r="H7">
        <v>18</v>
      </c>
      <c r="I7">
        <v>536</v>
      </c>
      <c r="J7">
        <v>448.5</v>
      </c>
      <c r="K7">
        <v>6.38</v>
      </c>
      <c r="L7" t="s">
        <v>20</v>
      </c>
      <c r="N7">
        <v>29</v>
      </c>
      <c r="O7">
        <v>342</v>
      </c>
      <c r="P7">
        <v>387</v>
      </c>
      <c r="Q7">
        <v>402</v>
      </c>
      <c r="R7">
        <v>430</v>
      </c>
      <c r="S7">
        <v>457</v>
      </c>
      <c r="T7">
        <v>457</v>
      </c>
      <c r="U7">
        <v>466</v>
      </c>
      <c r="V7">
        <v>480</v>
      </c>
      <c r="W7">
        <v>478</v>
      </c>
      <c r="X7">
        <v>488</v>
      </c>
      <c r="Y7">
        <v>514</v>
      </c>
      <c r="Z7" s="2">
        <v>536</v>
      </c>
    </row>
    <row r="8" spans="1:47" x14ac:dyDescent="0.35">
      <c r="A8" t="s">
        <v>12</v>
      </c>
      <c r="B8" t="s">
        <v>24</v>
      </c>
      <c r="C8" t="s">
        <v>14</v>
      </c>
      <c r="D8" t="s">
        <v>22</v>
      </c>
      <c r="E8" t="s">
        <v>23</v>
      </c>
      <c r="F8" t="s">
        <v>17</v>
      </c>
      <c r="G8">
        <v>11</v>
      </c>
      <c r="H8">
        <v>19</v>
      </c>
      <c r="I8">
        <v>206</v>
      </c>
      <c r="J8">
        <v>96.4</v>
      </c>
      <c r="K8">
        <v>14.38</v>
      </c>
      <c r="L8" t="s">
        <v>18</v>
      </c>
      <c r="N8">
        <v>7</v>
      </c>
      <c r="O8">
        <v>12</v>
      </c>
      <c r="P8">
        <v>18</v>
      </c>
      <c r="Q8">
        <v>29</v>
      </c>
      <c r="R8">
        <v>29</v>
      </c>
      <c r="S8">
        <v>36</v>
      </c>
      <c r="T8">
        <v>38</v>
      </c>
      <c r="U8">
        <v>44</v>
      </c>
      <c r="V8">
        <v>41</v>
      </c>
      <c r="W8">
        <v>49</v>
      </c>
      <c r="X8">
        <v>57</v>
      </c>
      <c r="Y8">
        <v>63</v>
      </c>
      <c r="Z8">
        <v>70</v>
      </c>
      <c r="AA8">
        <v>77</v>
      </c>
      <c r="AB8">
        <v>87</v>
      </c>
      <c r="AC8">
        <v>84</v>
      </c>
      <c r="AD8">
        <v>87</v>
      </c>
      <c r="AE8">
        <v>100</v>
      </c>
      <c r="AF8">
        <v>111</v>
      </c>
      <c r="AG8">
        <v>120</v>
      </c>
      <c r="AH8">
        <v>140</v>
      </c>
      <c r="AI8">
        <v>142</v>
      </c>
      <c r="AJ8">
        <v>148</v>
      </c>
      <c r="AK8">
        <v>144</v>
      </c>
      <c r="AL8">
        <v>160</v>
      </c>
      <c r="AM8">
        <v>155</v>
      </c>
      <c r="AN8">
        <v>168</v>
      </c>
      <c r="AO8">
        <v>168</v>
      </c>
      <c r="AP8">
        <v>197</v>
      </c>
    </row>
    <row r="9" spans="1:47" x14ac:dyDescent="0.35">
      <c r="A9" t="s">
        <v>12</v>
      </c>
      <c r="B9" t="s">
        <v>21</v>
      </c>
      <c r="C9" t="s">
        <v>14</v>
      </c>
      <c r="D9" t="s">
        <v>25</v>
      </c>
      <c r="E9" t="s">
        <v>16</v>
      </c>
      <c r="F9" t="s">
        <v>17</v>
      </c>
      <c r="G9">
        <v>15</v>
      </c>
      <c r="H9">
        <v>18</v>
      </c>
      <c r="I9">
        <v>96</v>
      </c>
      <c r="J9">
        <v>55</v>
      </c>
      <c r="K9">
        <v>12</v>
      </c>
      <c r="L9" t="s">
        <v>20</v>
      </c>
      <c r="N9">
        <v>57</v>
      </c>
      <c r="O9">
        <v>79</v>
      </c>
      <c r="P9">
        <v>89</v>
      </c>
      <c r="Q9" s="2">
        <v>96</v>
      </c>
      <c r="R9">
        <v>67</v>
      </c>
      <c r="S9">
        <v>75</v>
      </c>
      <c r="T9">
        <v>74</v>
      </c>
      <c r="U9">
        <v>68</v>
      </c>
      <c r="V9">
        <v>57</v>
      </c>
      <c r="W9">
        <v>62</v>
      </c>
      <c r="X9">
        <v>63</v>
      </c>
      <c r="Y9">
        <v>54</v>
      </c>
      <c r="Z9">
        <v>45</v>
      </c>
      <c r="AA9">
        <v>42</v>
      </c>
      <c r="AB9">
        <v>38</v>
      </c>
      <c r="AC9">
        <v>37</v>
      </c>
      <c r="AD9">
        <v>40</v>
      </c>
      <c r="AE9">
        <v>38</v>
      </c>
      <c r="AF9">
        <v>41</v>
      </c>
      <c r="AG9">
        <v>48</v>
      </c>
      <c r="AH9">
        <v>51</v>
      </c>
      <c r="AI9">
        <v>51</v>
      </c>
      <c r="AJ9">
        <v>37</v>
      </c>
      <c r="AK9">
        <v>33</v>
      </c>
      <c r="AL9">
        <v>33</v>
      </c>
    </row>
    <row r="10" spans="1:47" x14ac:dyDescent="0.35">
      <c r="A10" t="s">
        <v>12</v>
      </c>
      <c r="B10" t="s">
        <v>13</v>
      </c>
      <c r="C10" t="s">
        <v>14</v>
      </c>
      <c r="D10" t="s">
        <v>25</v>
      </c>
      <c r="E10" t="s">
        <v>16</v>
      </c>
      <c r="F10" t="s">
        <v>17</v>
      </c>
      <c r="G10">
        <v>12</v>
      </c>
      <c r="H10">
        <v>14</v>
      </c>
      <c r="I10">
        <v>133</v>
      </c>
      <c r="J10">
        <v>71</v>
      </c>
      <c r="K10">
        <v>10.5</v>
      </c>
      <c r="L10" t="s">
        <v>18</v>
      </c>
      <c r="N10">
        <v>11</v>
      </c>
      <c r="O10">
        <v>23</v>
      </c>
      <c r="P10">
        <v>36</v>
      </c>
      <c r="Q10">
        <v>33</v>
      </c>
      <c r="R10">
        <v>37</v>
      </c>
      <c r="S10">
        <v>54</v>
      </c>
      <c r="T10">
        <v>84</v>
      </c>
      <c r="U10" s="2">
        <v>133</v>
      </c>
      <c r="V10">
        <v>122</v>
      </c>
      <c r="W10">
        <v>100</v>
      </c>
      <c r="X10">
        <v>83</v>
      </c>
      <c r="Y10">
        <v>83</v>
      </c>
      <c r="Z10">
        <v>81</v>
      </c>
      <c r="AA10">
        <v>89</v>
      </c>
      <c r="AB10">
        <v>74</v>
      </c>
      <c r="AC10">
        <v>71</v>
      </c>
      <c r="AD10">
        <v>64</v>
      </c>
      <c r="AE10">
        <v>63</v>
      </c>
      <c r="AF10">
        <v>67</v>
      </c>
      <c r="AG10">
        <v>74</v>
      </c>
      <c r="AH10">
        <v>90</v>
      </c>
      <c r="AI10">
        <v>96</v>
      </c>
    </row>
    <row r="11" spans="1:47" x14ac:dyDescent="0.35">
      <c r="A11" t="s">
        <v>12</v>
      </c>
      <c r="B11" t="s">
        <v>19</v>
      </c>
      <c r="C11" t="s">
        <v>14</v>
      </c>
      <c r="D11" t="s">
        <v>25</v>
      </c>
      <c r="E11" t="s">
        <v>16</v>
      </c>
      <c r="F11" t="s">
        <v>17</v>
      </c>
      <c r="G11">
        <v>13</v>
      </c>
      <c r="H11">
        <v>14</v>
      </c>
      <c r="I11">
        <v>281</v>
      </c>
      <c r="J11">
        <v>225.7</v>
      </c>
      <c r="K11">
        <v>10.5</v>
      </c>
      <c r="L11" t="s">
        <v>18</v>
      </c>
      <c r="N11">
        <v>23</v>
      </c>
      <c r="O11">
        <v>23</v>
      </c>
      <c r="P11">
        <v>54</v>
      </c>
      <c r="Q11">
        <v>76</v>
      </c>
      <c r="R11">
        <v>124</v>
      </c>
      <c r="S11">
        <v>186</v>
      </c>
      <c r="T11">
        <v>233</v>
      </c>
      <c r="U11">
        <v>254</v>
      </c>
      <c r="V11">
        <v>261</v>
      </c>
      <c r="W11">
        <v>269</v>
      </c>
      <c r="X11">
        <v>272</v>
      </c>
      <c r="Y11">
        <v>277</v>
      </c>
      <c r="Z11">
        <v>279</v>
      </c>
      <c r="AA11">
        <v>272</v>
      </c>
      <c r="AB11">
        <v>266</v>
      </c>
      <c r="AC11">
        <v>269</v>
      </c>
      <c r="AD11">
        <v>272</v>
      </c>
      <c r="AE11">
        <v>289</v>
      </c>
      <c r="AF11">
        <v>309</v>
      </c>
      <c r="AG11">
        <v>92</v>
      </c>
      <c r="AH11">
        <v>281</v>
      </c>
      <c r="AI11" s="2">
        <v>366</v>
      </c>
    </row>
    <row r="12" spans="1:47" x14ac:dyDescent="0.35">
      <c r="A12" t="s">
        <v>12</v>
      </c>
      <c r="B12" t="s">
        <v>24</v>
      </c>
      <c r="C12" t="s">
        <v>14</v>
      </c>
      <c r="D12" t="s">
        <v>25</v>
      </c>
      <c r="E12" t="s">
        <v>16</v>
      </c>
      <c r="F12" t="s">
        <v>17</v>
      </c>
      <c r="G12">
        <v>13</v>
      </c>
      <c r="H12">
        <v>28</v>
      </c>
      <c r="I12">
        <v>438</v>
      </c>
      <c r="J12">
        <v>278.29000000000002</v>
      </c>
      <c r="K12">
        <v>13</v>
      </c>
      <c r="L12" t="s">
        <v>18</v>
      </c>
      <c r="N12">
        <v>14</v>
      </c>
      <c r="O12">
        <v>33</v>
      </c>
      <c r="P12">
        <v>66</v>
      </c>
      <c r="Q12">
        <v>124</v>
      </c>
      <c r="R12">
        <v>155</v>
      </c>
      <c r="S12">
        <v>193</v>
      </c>
      <c r="T12">
        <v>206</v>
      </c>
      <c r="U12">
        <v>237</v>
      </c>
      <c r="V12">
        <v>247</v>
      </c>
      <c r="W12">
        <v>252</v>
      </c>
      <c r="X12">
        <v>264</v>
      </c>
      <c r="Y12">
        <v>272</v>
      </c>
      <c r="Z12">
        <v>286</v>
      </c>
      <c r="AA12">
        <v>309</v>
      </c>
      <c r="AB12">
        <v>319</v>
      </c>
      <c r="AC12">
        <v>331</v>
      </c>
      <c r="AD12">
        <v>335</v>
      </c>
      <c r="AE12">
        <v>394</v>
      </c>
      <c r="AF12">
        <v>394</v>
      </c>
      <c r="AG12">
        <v>353</v>
      </c>
      <c r="AH12">
        <v>353</v>
      </c>
      <c r="AI12">
        <v>346</v>
      </c>
      <c r="AJ12">
        <v>359</v>
      </c>
      <c r="AK12">
        <v>390</v>
      </c>
      <c r="AL12">
        <v>409</v>
      </c>
      <c r="AM12">
        <v>435</v>
      </c>
      <c r="AN12" s="2">
        <v>438</v>
      </c>
    </row>
    <row r="13" spans="1:47" x14ac:dyDescent="0.35">
      <c r="A13" t="s">
        <v>12</v>
      </c>
      <c r="B13" t="s">
        <v>21</v>
      </c>
      <c r="C13" t="s">
        <v>14</v>
      </c>
      <c r="D13" t="s">
        <v>26</v>
      </c>
      <c r="E13" t="s">
        <v>16</v>
      </c>
      <c r="F13" t="s">
        <v>17</v>
      </c>
      <c r="G13">
        <v>18</v>
      </c>
      <c r="H13">
        <v>18</v>
      </c>
      <c r="I13">
        <v>78</v>
      </c>
      <c r="J13">
        <v>66.3</v>
      </c>
      <c r="K13">
        <v>10</v>
      </c>
      <c r="L13" t="s">
        <v>20</v>
      </c>
      <c r="N13">
        <v>58</v>
      </c>
      <c r="O13">
        <v>64</v>
      </c>
      <c r="P13">
        <v>64</v>
      </c>
      <c r="Q13">
        <v>66</v>
      </c>
      <c r="R13">
        <v>64</v>
      </c>
      <c r="S13">
        <v>67</v>
      </c>
      <c r="T13" s="2">
        <v>78</v>
      </c>
      <c r="U13">
        <v>71</v>
      </c>
      <c r="V13">
        <v>71</v>
      </c>
      <c r="W13">
        <v>68</v>
      </c>
      <c r="X13">
        <v>70</v>
      </c>
      <c r="Y13">
        <v>72</v>
      </c>
      <c r="Z13">
        <v>72</v>
      </c>
      <c r="AA13">
        <v>72</v>
      </c>
      <c r="AB13">
        <v>72</v>
      </c>
      <c r="AC13">
        <v>71</v>
      </c>
      <c r="AD13">
        <v>71</v>
      </c>
      <c r="AE13">
        <v>61</v>
      </c>
      <c r="AF13">
        <v>55</v>
      </c>
      <c r="AG13">
        <v>57</v>
      </c>
      <c r="AH13">
        <v>48</v>
      </c>
    </row>
    <row r="14" spans="1:47" x14ac:dyDescent="0.35">
      <c r="A14" t="s">
        <v>12</v>
      </c>
      <c r="B14" t="s">
        <v>13</v>
      </c>
      <c r="C14" t="s">
        <v>14</v>
      </c>
      <c r="D14" t="s">
        <v>26</v>
      </c>
      <c r="E14" t="s">
        <v>16</v>
      </c>
      <c r="F14" t="s">
        <v>17</v>
      </c>
      <c r="G14">
        <v>13</v>
      </c>
      <c r="H14">
        <v>17</v>
      </c>
      <c r="I14">
        <v>70</v>
      </c>
      <c r="J14">
        <v>57.7</v>
      </c>
      <c r="K14">
        <v>13</v>
      </c>
      <c r="L14" t="s">
        <v>18</v>
      </c>
      <c r="N14">
        <v>40</v>
      </c>
      <c r="O14">
        <v>50</v>
      </c>
      <c r="P14">
        <v>54</v>
      </c>
      <c r="Q14">
        <v>58</v>
      </c>
      <c r="R14">
        <v>64</v>
      </c>
      <c r="S14">
        <v>68</v>
      </c>
      <c r="T14">
        <v>67</v>
      </c>
      <c r="U14">
        <v>68</v>
      </c>
      <c r="V14">
        <v>68</v>
      </c>
      <c r="W14" s="2">
        <v>70</v>
      </c>
      <c r="X14">
        <v>64</v>
      </c>
      <c r="Y14">
        <v>58</v>
      </c>
      <c r="Z14">
        <v>57</v>
      </c>
      <c r="AA14">
        <v>55</v>
      </c>
      <c r="AB14">
        <v>55</v>
      </c>
      <c r="AC14">
        <v>58</v>
      </c>
      <c r="AD14">
        <v>57</v>
      </c>
      <c r="AE14">
        <v>59</v>
      </c>
      <c r="AF14">
        <v>53</v>
      </c>
      <c r="AG14">
        <v>58</v>
      </c>
      <c r="AH14">
        <v>58</v>
      </c>
      <c r="AI14">
        <v>55</v>
      </c>
      <c r="AJ14">
        <v>55</v>
      </c>
      <c r="AK14">
        <v>53</v>
      </c>
      <c r="AL14">
        <v>49</v>
      </c>
      <c r="AM14">
        <v>50</v>
      </c>
      <c r="AN14">
        <v>57</v>
      </c>
    </row>
    <row r="15" spans="1:47" x14ac:dyDescent="0.35">
      <c r="A15" t="s">
        <v>12</v>
      </c>
      <c r="B15" t="s">
        <v>19</v>
      </c>
      <c r="C15" t="s">
        <v>14</v>
      </c>
      <c r="D15" t="s">
        <v>26</v>
      </c>
      <c r="E15" t="s">
        <v>16</v>
      </c>
      <c r="F15" t="s">
        <v>17</v>
      </c>
      <c r="G15">
        <v>14</v>
      </c>
      <c r="H15">
        <v>44</v>
      </c>
      <c r="I15">
        <v>222</v>
      </c>
      <c r="J15">
        <v>188.63</v>
      </c>
      <c r="K15">
        <v>10</v>
      </c>
      <c r="L15" t="s">
        <v>18</v>
      </c>
      <c r="N15">
        <v>67</v>
      </c>
      <c r="O15">
        <v>113</v>
      </c>
      <c r="P15">
        <v>162</v>
      </c>
      <c r="Q15">
        <v>173</v>
      </c>
      <c r="R15">
        <v>182</v>
      </c>
      <c r="S15">
        <v>186</v>
      </c>
      <c r="T15">
        <v>191</v>
      </c>
      <c r="U15">
        <v>201</v>
      </c>
      <c r="V15">
        <v>195</v>
      </c>
      <c r="W15">
        <v>195</v>
      </c>
      <c r="X15">
        <v>203</v>
      </c>
      <c r="Y15">
        <v>210</v>
      </c>
      <c r="Z15">
        <v>211</v>
      </c>
      <c r="AA15">
        <v>211</v>
      </c>
      <c r="AB15">
        <v>206</v>
      </c>
      <c r="AC15">
        <v>215</v>
      </c>
      <c r="AD15" s="2">
        <v>222</v>
      </c>
      <c r="AE15">
        <v>215</v>
      </c>
      <c r="AF15">
        <v>210</v>
      </c>
      <c r="AG15">
        <v>210</v>
      </c>
      <c r="AH15">
        <v>186</v>
      </c>
      <c r="AI15">
        <v>186</v>
      </c>
    </row>
    <row r="16" spans="1:47" x14ac:dyDescent="0.35">
      <c r="A16" t="s">
        <v>12</v>
      </c>
      <c r="B16" t="s">
        <v>24</v>
      </c>
      <c r="C16" t="s">
        <v>14</v>
      </c>
      <c r="D16" t="s">
        <v>27</v>
      </c>
      <c r="E16" t="s">
        <v>23</v>
      </c>
      <c r="F16" t="s">
        <v>17</v>
      </c>
      <c r="G16">
        <v>14</v>
      </c>
      <c r="H16">
        <v>17</v>
      </c>
      <c r="I16">
        <v>222</v>
      </c>
      <c r="J16">
        <v>142.125</v>
      </c>
      <c r="K16">
        <v>15.5</v>
      </c>
      <c r="L16" t="s">
        <v>18</v>
      </c>
      <c r="N16">
        <v>11</v>
      </c>
      <c r="O16">
        <v>33</v>
      </c>
      <c r="P16">
        <v>51</v>
      </c>
      <c r="Q16">
        <v>67</v>
      </c>
      <c r="R16">
        <v>77</v>
      </c>
      <c r="S16">
        <v>85</v>
      </c>
      <c r="T16">
        <v>88</v>
      </c>
      <c r="U16">
        <v>96</v>
      </c>
      <c r="V16">
        <v>104</v>
      </c>
      <c r="W16">
        <v>100</v>
      </c>
      <c r="X16">
        <v>115</v>
      </c>
      <c r="Y16">
        <v>117</v>
      </c>
      <c r="Z16">
        <v>137</v>
      </c>
      <c r="AA16">
        <v>140</v>
      </c>
      <c r="AB16">
        <v>155</v>
      </c>
      <c r="AC16">
        <v>166</v>
      </c>
      <c r="AD16">
        <v>171</v>
      </c>
      <c r="AE16">
        <v>166</v>
      </c>
      <c r="AF16">
        <v>164</v>
      </c>
      <c r="AG16">
        <v>184</v>
      </c>
      <c r="AH16">
        <v>173</v>
      </c>
      <c r="AI16">
        <v>180</v>
      </c>
      <c r="AJ16">
        <v>175</v>
      </c>
      <c r="AK16">
        <v>182</v>
      </c>
      <c r="AL16">
        <v>184</v>
      </c>
      <c r="AM16">
        <v>191</v>
      </c>
      <c r="AN16">
        <v>195</v>
      </c>
      <c r="AO16">
        <v>200</v>
      </c>
      <c r="AP16">
        <v>197</v>
      </c>
      <c r="AQ16">
        <v>206</v>
      </c>
      <c r="AR16">
        <v>216</v>
      </c>
      <c r="AS16" s="2">
        <v>222</v>
      </c>
    </row>
    <row r="17" spans="1:39" x14ac:dyDescent="0.35">
      <c r="A17" t="s">
        <v>12</v>
      </c>
      <c r="B17" t="s">
        <v>13</v>
      </c>
      <c r="C17" t="s">
        <v>14</v>
      </c>
      <c r="D17" t="s">
        <v>27</v>
      </c>
      <c r="E17" t="s">
        <v>23</v>
      </c>
      <c r="F17" t="s">
        <v>17</v>
      </c>
      <c r="G17">
        <v>23</v>
      </c>
      <c r="H17">
        <v>21</v>
      </c>
      <c r="I17">
        <v>59</v>
      </c>
      <c r="J17">
        <v>50.6</v>
      </c>
      <c r="K17">
        <v>12.5</v>
      </c>
      <c r="L17" t="s">
        <v>18</v>
      </c>
      <c r="N17">
        <v>35</v>
      </c>
      <c r="O17">
        <v>40</v>
      </c>
      <c r="P17">
        <v>41</v>
      </c>
      <c r="Q17">
        <v>41</v>
      </c>
      <c r="R17">
        <v>41</v>
      </c>
      <c r="S17">
        <v>41</v>
      </c>
      <c r="T17">
        <v>45</v>
      </c>
      <c r="U17">
        <v>49</v>
      </c>
      <c r="V17">
        <v>54</v>
      </c>
      <c r="W17">
        <v>48</v>
      </c>
      <c r="X17">
        <v>50</v>
      </c>
      <c r="Y17">
        <v>57</v>
      </c>
      <c r="Z17">
        <v>55</v>
      </c>
      <c r="AA17">
        <v>55</v>
      </c>
      <c r="AB17">
        <v>58</v>
      </c>
      <c r="AC17" s="2">
        <v>59</v>
      </c>
      <c r="AD17">
        <v>55</v>
      </c>
      <c r="AE17">
        <v>58</v>
      </c>
      <c r="AF17">
        <v>57</v>
      </c>
      <c r="AG17">
        <v>58</v>
      </c>
      <c r="AH17">
        <v>59</v>
      </c>
      <c r="AI17">
        <v>50</v>
      </c>
      <c r="AJ17">
        <v>49</v>
      </c>
      <c r="AK17">
        <v>51</v>
      </c>
      <c r="AL17">
        <v>51</v>
      </c>
      <c r="AM17">
        <v>58</v>
      </c>
    </row>
    <row r="18" spans="1:39" x14ac:dyDescent="0.35">
      <c r="A18" t="s">
        <v>12</v>
      </c>
      <c r="B18" t="s">
        <v>13</v>
      </c>
      <c r="C18" t="s">
        <v>28</v>
      </c>
      <c r="D18" t="s">
        <v>29</v>
      </c>
      <c r="E18" t="s">
        <v>16</v>
      </c>
      <c r="F18" t="s">
        <v>17</v>
      </c>
      <c r="G18">
        <v>14</v>
      </c>
      <c r="H18">
        <v>20</v>
      </c>
      <c r="I18">
        <v>70</v>
      </c>
      <c r="J18">
        <v>46.8</v>
      </c>
      <c r="K18">
        <v>6</v>
      </c>
      <c r="L18" t="s">
        <v>20</v>
      </c>
      <c r="N18">
        <v>29</v>
      </c>
      <c r="O18">
        <v>40</v>
      </c>
      <c r="P18">
        <v>42</v>
      </c>
      <c r="Q18">
        <v>41</v>
      </c>
      <c r="R18">
        <v>41</v>
      </c>
      <c r="S18">
        <v>42</v>
      </c>
      <c r="T18">
        <v>42</v>
      </c>
      <c r="U18">
        <v>46</v>
      </c>
      <c r="V18">
        <v>49</v>
      </c>
      <c r="W18">
        <v>48</v>
      </c>
      <c r="X18">
        <v>58</v>
      </c>
      <c r="Y18">
        <v>61</v>
      </c>
      <c r="Z18" s="2">
        <v>70</v>
      </c>
    </row>
    <row r="19" spans="1:39" x14ac:dyDescent="0.35">
      <c r="A19" t="s">
        <v>12</v>
      </c>
      <c r="B19" t="s">
        <v>19</v>
      </c>
      <c r="C19" t="s">
        <v>28</v>
      </c>
      <c r="D19" t="s">
        <v>29</v>
      </c>
      <c r="E19" t="s">
        <v>16</v>
      </c>
      <c r="F19" t="s">
        <v>17</v>
      </c>
      <c r="G19">
        <v>24</v>
      </c>
      <c r="H19">
        <v>36</v>
      </c>
      <c r="I19">
        <v>90</v>
      </c>
      <c r="J19">
        <v>65.900000000000006</v>
      </c>
      <c r="K19">
        <v>5.2</v>
      </c>
      <c r="L19" t="s">
        <v>20</v>
      </c>
      <c r="N19">
        <v>54</v>
      </c>
      <c r="O19">
        <v>53</v>
      </c>
      <c r="P19">
        <v>59</v>
      </c>
      <c r="Q19">
        <v>55</v>
      </c>
      <c r="R19">
        <v>58</v>
      </c>
      <c r="S19">
        <v>61</v>
      </c>
      <c r="T19">
        <v>61</v>
      </c>
      <c r="U19">
        <v>70</v>
      </c>
      <c r="V19">
        <v>68</v>
      </c>
      <c r="W19">
        <v>79</v>
      </c>
      <c r="X19">
        <v>83</v>
      </c>
      <c r="Y19" s="2">
        <v>90</v>
      </c>
    </row>
    <row r="20" spans="1:39" x14ac:dyDescent="0.35">
      <c r="A20" t="s">
        <v>12</v>
      </c>
      <c r="B20" t="s">
        <v>24</v>
      </c>
      <c r="C20" t="s">
        <v>28</v>
      </c>
      <c r="D20" t="s">
        <v>30</v>
      </c>
      <c r="E20" t="s">
        <v>23</v>
      </c>
      <c r="F20" t="s">
        <v>17</v>
      </c>
      <c r="G20">
        <v>13</v>
      </c>
      <c r="H20">
        <v>14</v>
      </c>
      <c r="I20">
        <v>87</v>
      </c>
      <c r="J20">
        <v>69.5</v>
      </c>
      <c r="K20">
        <v>4.88</v>
      </c>
      <c r="L20" t="s">
        <v>20</v>
      </c>
      <c r="N20">
        <v>31</v>
      </c>
      <c r="O20">
        <v>50</v>
      </c>
      <c r="P20">
        <v>59</v>
      </c>
      <c r="Q20">
        <v>70</v>
      </c>
      <c r="R20">
        <v>72</v>
      </c>
      <c r="S20">
        <v>74</v>
      </c>
      <c r="T20">
        <v>79</v>
      </c>
      <c r="U20">
        <v>79</v>
      </c>
      <c r="V20">
        <v>80</v>
      </c>
      <c r="W20">
        <v>84</v>
      </c>
      <c r="X20" s="2">
        <v>87</v>
      </c>
    </row>
    <row r="21" spans="1:39" x14ac:dyDescent="0.35">
      <c r="A21" t="s">
        <v>12</v>
      </c>
      <c r="B21" t="s">
        <v>21</v>
      </c>
      <c r="C21" t="s">
        <v>28</v>
      </c>
      <c r="D21" t="s">
        <v>30</v>
      </c>
      <c r="E21" t="s">
        <v>23</v>
      </c>
      <c r="F21" t="s">
        <v>17</v>
      </c>
      <c r="G21">
        <v>23</v>
      </c>
      <c r="H21">
        <v>16</v>
      </c>
      <c r="I21">
        <v>44</v>
      </c>
      <c r="J21">
        <v>33.4</v>
      </c>
      <c r="K21">
        <v>9.5</v>
      </c>
      <c r="L21" t="s">
        <v>20</v>
      </c>
      <c r="N21">
        <v>31</v>
      </c>
      <c r="O21">
        <v>32</v>
      </c>
      <c r="P21">
        <v>37</v>
      </c>
      <c r="Q21">
        <v>36</v>
      </c>
      <c r="R21">
        <v>40</v>
      </c>
      <c r="S21">
        <v>38</v>
      </c>
      <c r="T21">
        <v>38</v>
      </c>
      <c r="U21">
        <v>36</v>
      </c>
      <c r="V21">
        <v>36</v>
      </c>
      <c r="W21">
        <v>33</v>
      </c>
      <c r="X21">
        <v>40</v>
      </c>
      <c r="Y21">
        <v>36</v>
      </c>
      <c r="Z21" s="2">
        <v>44</v>
      </c>
      <c r="AA21">
        <v>40</v>
      </c>
      <c r="AB21">
        <v>38</v>
      </c>
      <c r="AC21">
        <v>29</v>
      </c>
      <c r="AD21">
        <v>27</v>
      </c>
      <c r="AE21">
        <v>16</v>
      </c>
      <c r="AF21">
        <v>19</v>
      </c>
      <c r="AG21">
        <v>22</v>
      </c>
    </row>
    <row r="22" spans="1:39" x14ac:dyDescent="0.35">
      <c r="A22" t="s">
        <v>12</v>
      </c>
      <c r="B22" t="s">
        <v>13</v>
      </c>
      <c r="C22" t="s">
        <v>28</v>
      </c>
      <c r="D22" t="s">
        <v>30</v>
      </c>
      <c r="E22" t="s">
        <v>23</v>
      </c>
      <c r="F22" t="s">
        <v>17</v>
      </c>
      <c r="G22">
        <v>13</v>
      </c>
      <c r="H22">
        <v>23</v>
      </c>
      <c r="I22">
        <v>40</v>
      </c>
      <c r="J22">
        <v>32.6</v>
      </c>
      <c r="K22">
        <v>6</v>
      </c>
      <c r="L22" t="s">
        <v>20</v>
      </c>
      <c r="N22">
        <v>33</v>
      </c>
      <c r="O22">
        <v>36</v>
      </c>
      <c r="P22">
        <v>37</v>
      </c>
      <c r="Q22" s="2">
        <v>40</v>
      </c>
      <c r="R22">
        <v>35</v>
      </c>
      <c r="S22">
        <v>32</v>
      </c>
      <c r="T22">
        <v>31</v>
      </c>
      <c r="U22">
        <v>32</v>
      </c>
      <c r="V22">
        <v>29</v>
      </c>
      <c r="W22">
        <v>31</v>
      </c>
      <c r="X22">
        <v>29</v>
      </c>
      <c r="Y22">
        <v>28</v>
      </c>
      <c r="Z22">
        <v>31</v>
      </c>
    </row>
    <row r="23" spans="1:39" x14ac:dyDescent="0.35">
      <c r="A23" t="s">
        <v>12</v>
      </c>
      <c r="B23" t="s">
        <v>19</v>
      </c>
      <c r="C23" t="s">
        <v>28</v>
      </c>
      <c r="D23" t="s">
        <v>31</v>
      </c>
      <c r="E23" t="s">
        <v>23</v>
      </c>
      <c r="F23" t="s">
        <v>17</v>
      </c>
      <c r="G23">
        <v>11</v>
      </c>
      <c r="H23">
        <v>13</v>
      </c>
      <c r="I23">
        <v>230</v>
      </c>
      <c r="J23">
        <v>145.4</v>
      </c>
      <c r="K23">
        <v>4</v>
      </c>
      <c r="L23" t="s">
        <v>18</v>
      </c>
      <c r="N23">
        <v>32</v>
      </c>
      <c r="O23">
        <v>90</v>
      </c>
      <c r="P23">
        <v>122</v>
      </c>
      <c r="Q23">
        <v>106</v>
      </c>
      <c r="R23">
        <v>151</v>
      </c>
      <c r="S23">
        <v>160</v>
      </c>
      <c r="T23">
        <v>195</v>
      </c>
      <c r="U23" s="2">
        <v>230</v>
      </c>
      <c r="V23">
        <v>223</v>
      </c>
    </row>
    <row r="24" spans="1:39" x14ac:dyDescent="0.35">
      <c r="A24" t="s">
        <v>12</v>
      </c>
      <c r="B24" t="s">
        <v>24</v>
      </c>
      <c r="C24" t="s">
        <v>28</v>
      </c>
      <c r="D24" t="s">
        <v>31</v>
      </c>
      <c r="E24" t="s">
        <v>23</v>
      </c>
      <c r="F24" t="s">
        <v>17</v>
      </c>
      <c r="G24">
        <v>20</v>
      </c>
      <c r="H24">
        <v>26</v>
      </c>
      <c r="I24">
        <v>335</v>
      </c>
      <c r="J24">
        <v>234.3</v>
      </c>
      <c r="K24">
        <v>3.78</v>
      </c>
      <c r="L24" t="s">
        <v>18</v>
      </c>
      <c r="N24">
        <v>72</v>
      </c>
      <c r="O24">
        <v>102</v>
      </c>
      <c r="P24">
        <v>188</v>
      </c>
      <c r="Q24">
        <v>232</v>
      </c>
      <c r="R24">
        <v>218</v>
      </c>
      <c r="S24">
        <v>305</v>
      </c>
      <c r="T24" s="2">
        <v>335</v>
      </c>
      <c r="U24">
        <v>324</v>
      </c>
      <c r="V24">
        <v>333</v>
      </c>
    </row>
    <row r="25" spans="1:39" x14ac:dyDescent="0.35">
      <c r="A25" t="s">
        <v>12</v>
      </c>
      <c r="B25" t="s">
        <v>21</v>
      </c>
      <c r="C25" t="s">
        <v>28</v>
      </c>
      <c r="D25" t="s">
        <v>31</v>
      </c>
      <c r="E25" t="s">
        <v>23</v>
      </c>
      <c r="F25" t="s">
        <v>17</v>
      </c>
      <c r="G25">
        <v>16</v>
      </c>
      <c r="H25">
        <v>27</v>
      </c>
      <c r="I25">
        <v>40</v>
      </c>
      <c r="J25">
        <v>34.700000000000003</v>
      </c>
      <c r="K25">
        <v>8.18</v>
      </c>
      <c r="L25" t="s">
        <v>18</v>
      </c>
      <c r="N25">
        <v>19</v>
      </c>
      <c r="O25">
        <v>27</v>
      </c>
      <c r="P25">
        <v>36</v>
      </c>
      <c r="Q25">
        <v>36</v>
      </c>
      <c r="R25">
        <v>37</v>
      </c>
      <c r="S25">
        <v>38</v>
      </c>
      <c r="T25" s="2">
        <v>40</v>
      </c>
      <c r="U25">
        <v>38</v>
      </c>
      <c r="V25" s="2">
        <v>40</v>
      </c>
      <c r="W25">
        <v>38</v>
      </c>
      <c r="X25">
        <v>36</v>
      </c>
      <c r="Y25">
        <v>36</v>
      </c>
      <c r="Z25">
        <v>31</v>
      </c>
      <c r="AA25">
        <v>35</v>
      </c>
      <c r="AB25">
        <v>36</v>
      </c>
      <c r="AC25">
        <v>35</v>
      </c>
      <c r="AD25">
        <v>32</v>
      </c>
    </row>
    <row r="26" spans="1:39" x14ac:dyDescent="0.35">
      <c r="A26" t="s">
        <v>12</v>
      </c>
      <c r="B26" t="s">
        <v>19</v>
      </c>
      <c r="C26" t="s">
        <v>28</v>
      </c>
      <c r="D26" t="s">
        <v>32</v>
      </c>
      <c r="E26" t="s">
        <v>23</v>
      </c>
      <c r="F26" t="s">
        <v>17</v>
      </c>
      <c r="G26">
        <v>15</v>
      </c>
      <c r="H26">
        <v>20</v>
      </c>
      <c r="I26">
        <v>220</v>
      </c>
      <c r="J26">
        <v>147.33000000000001</v>
      </c>
      <c r="K26">
        <v>2.06</v>
      </c>
      <c r="L26" t="s">
        <v>20</v>
      </c>
      <c r="N26">
        <v>23</v>
      </c>
      <c r="O26">
        <v>93</v>
      </c>
      <c r="P26">
        <v>151</v>
      </c>
      <c r="Q26">
        <v>186</v>
      </c>
      <c r="R26">
        <v>211</v>
      </c>
    </row>
    <row r="27" spans="1:39" x14ac:dyDescent="0.35">
      <c r="A27" t="s">
        <v>12</v>
      </c>
      <c r="B27" t="s">
        <v>24</v>
      </c>
      <c r="C27" t="s">
        <v>28</v>
      </c>
      <c r="D27" t="s">
        <v>32</v>
      </c>
      <c r="E27" t="s">
        <v>23</v>
      </c>
      <c r="F27" t="s">
        <v>17</v>
      </c>
      <c r="G27">
        <v>11</v>
      </c>
      <c r="H27">
        <v>17</v>
      </c>
      <c r="I27">
        <v>206</v>
      </c>
      <c r="J27">
        <v>135.1</v>
      </c>
      <c r="K27">
        <v>3</v>
      </c>
      <c r="L27" t="s">
        <v>18</v>
      </c>
      <c r="N27">
        <v>32</v>
      </c>
      <c r="O27">
        <v>64</v>
      </c>
      <c r="P27">
        <v>96</v>
      </c>
      <c r="Q27">
        <v>160</v>
      </c>
      <c r="R27">
        <v>206</v>
      </c>
      <c r="S27" s="2">
        <v>166</v>
      </c>
      <c r="T27">
        <v>222</v>
      </c>
    </row>
    <row r="28" spans="1:39" x14ac:dyDescent="0.35">
      <c r="A28" t="s">
        <v>12</v>
      </c>
      <c r="B28" t="s">
        <v>24</v>
      </c>
      <c r="C28" t="s">
        <v>28</v>
      </c>
      <c r="D28" t="s">
        <v>32</v>
      </c>
      <c r="E28" t="s">
        <v>23</v>
      </c>
      <c r="F28" t="s">
        <v>17</v>
      </c>
      <c r="G28">
        <v>16</v>
      </c>
      <c r="H28">
        <v>21</v>
      </c>
      <c r="I28">
        <v>235</v>
      </c>
      <c r="J28">
        <v>139.30000000000001</v>
      </c>
      <c r="K28">
        <v>6</v>
      </c>
      <c r="L28" t="s">
        <v>18</v>
      </c>
      <c r="N28">
        <v>14</v>
      </c>
      <c r="O28">
        <v>29</v>
      </c>
      <c r="P28">
        <v>50</v>
      </c>
      <c r="Q28">
        <v>81</v>
      </c>
      <c r="R28">
        <v>102</v>
      </c>
      <c r="S28">
        <v>120</v>
      </c>
      <c r="T28">
        <v>146</v>
      </c>
      <c r="U28">
        <v>168</v>
      </c>
      <c r="V28">
        <v>188</v>
      </c>
      <c r="W28">
        <v>205</v>
      </c>
      <c r="X28">
        <v>216</v>
      </c>
      <c r="Y28">
        <v>235</v>
      </c>
      <c r="Z28" s="2">
        <v>257</v>
      </c>
    </row>
    <row r="29" spans="1:39" x14ac:dyDescent="0.35">
      <c r="A29" t="s">
        <v>12</v>
      </c>
      <c r="B29" t="s">
        <v>21</v>
      </c>
      <c r="C29" t="s">
        <v>28</v>
      </c>
      <c r="D29" t="s">
        <v>33</v>
      </c>
      <c r="E29" t="s">
        <v>23</v>
      </c>
      <c r="F29" t="s">
        <v>17</v>
      </c>
      <c r="G29">
        <v>12</v>
      </c>
      <c r="H29">
        <v>26</v>
      </c>
      <c r="I29">
        <v>81</v>
      </c>
      <c r="J29">
        <v>53.8</v>
      </c>
      <c r="K29">
        <v>7.59</v>
      </c>
      <c r="L29" t="s">
        <v>18</v>
      </c>
      <c r="N29">
        <v>12</v>
      </c>
      <c r="O29">
        <v>19</v>
      </c>
      <c r="P29">
        <v>22</v>
      </c>
      <c r="Q29">
        <v>24</v>
      </c>
      <c r="R29">
        <v>28</v>
      </c>
      <c r="S29">
        <v>41</v>
      </c>
      <c r="T29">
        <v>35</v>
      </c>
      <c r="U29">
        <v>61</v>
      </c>
      <c r="V29">
        <v>72</v>
      </c>
      <c r="W29">
        <v>67</v>
      </c>
      <c r="X29">
        <v>74</v>
      </c>
      <c r="Y29">
        <v>79</v>
      </c>
      <c r="Z29">
        <v>80</v>
      </c>
      <c r="AA29" s="2">
        <v>81</v>
      </c>
      <c r="AB29">
        <v>77</v>
      </c>
      <c r="AC29">
        <v>71</v>
      </c>
      <c r="AD29">
        <v>61</v>
      </c>
      <c r="AE29">
        <v>64</v>
      </c>
    </row>
    <row r="30" spans="1:39" x14ac:dyDescent="0.35">
      <c r="A30" t="s">
        <v>12</v>
      </c>
      <c r="B30" t="s">
        <v>13</v>
      </c>
      <c r="C30" t="s">
        <v>28</v>
      </c>
      <c r="D30" t="s">
        <v>33</v>
      </c>
      <c r="E30" t="s">
        <v>23</v>
      </c>
      <c r="F30" t="s">
        <v>17</v>
      </c>
      <c r="G30">
        <v>21</v>
      </c>
      <c r="H30">
        <v>24</v>
      </c>
      <c r="I30">
        <v>49</v>
      </c>
      <c r="J30">
        <v>43.2</v>
      </c>
      <c r="K30">
        <v>4.09</v>
      </c>
      <c r="L30" t="s">
        <v>18</v>
      </c>
      <c r="N30">
        <v>27</v>
      </c>
      <c r="O30">
        <v>40</v>
      </c>
      <c r="P30">
        <v>44</v>
      </c>
      <c r="Q30">
        <v>48</v>
      </c>
      <c r="R30">
        <v>48</v>
      </c>
      <c r="S30">
        <v>48</v>
      </c>
      <c r="T30">
        <v>40</v>
      </c>
      <c r="U30">
        <v>44</v>
      </c>
      <c r="V30">
        <v>44</v>
      </c>
      <c r="W30" s="2">
        <v>49</v>
      </c>
    </row>
    <row r="31" spans="1:39" x14ac:dyDescent="0.35">
      <c r="A31" t="s">
        <v>12</v>
      </c>
      <c r="B31" t="s">
        <v>19</v>
      </c>
      <c r="C31" t="s">
        <v>28</v>
      </c>
      <c r="D31" t="s">
        <v>33</v>
      </c>
      <c r="E31" t="s">
        <v>23</v>
      </c>
      <c r="F31" t="s">
        <v>17</v>
      </c>
      <c r="G31">
        <v>13</v>
      </c>
      <c r="H31">
        <v>8</v>
      </c>
      <c r="I31">
        <v>230</v>
      </c>
      <c r="J31">
        <v>121.2</v>
      </c>
      <c r="K31">
        <v>4.5</v>
      </c>
      <c r="L31" t="s">
        <v>18</v>
      </c>
      <c r="N31">
        <v>35</v>
      </c>
      <c r="O31">
        <v>58</v>
      </c>
      <c r="P31">
        <v>77</v>
      </c>
      <c r="Q31">
        <v>84</v>
      </c>
      <c r="R31">
        <v>96</v>
      </c>
      <c r="S31">
        <v>113</v>
      </c>
      <c r="T31">
        <v>151</v>
      </c>
      <c r="U31">
        <v>168</v>
      </c>
      <c r="V31">
        <v>200</v>
      </c>
      <c r="W31" s="2">
        <v>230</v>
      </c>
    </row>
    <row r="32" spans="1:39" x14ac:dyDescent="0.35">
      <c r="A32" t="s">
        <v>12</v>
      </c>
      <c r="B32" t="s">
        <v>13</v>
      </c>
      <c r="C32" t="s">
        <v>28</v>
      </c>
      <c r="D32" t="s">
        <v>34</v>
      </c>
      <c r="E32" t="s">
        <v>16</v>
      </c>
      <c r="F32" t="s">
        <v>17</v>
      </c>
      <c r="G32">
        <v>10</v>
      </c>
      <c r="H32">
        <v>15</v>
      </c>
      <c r="I32">
        <v>64</v>
      </c>
      <c r="J32">
        <v>39.200000000000003</v>
      </c>
      <c r="K32">
        <v>5</v>
      </c>
      <c r="L32" t="s">
        <v>18</v>
      </c>
      <c r="N32">
        <v>5</v>
      </c>
      <c r="O32">
        <v>19</v>
      </c>
      <c r="P32">
        <v>27</v>
      </c>
      <c r="Q32">
        <v>32</v>
      </c>
      <c r="R32">
        <v>40</v>
      </c>
      <c r="S32">
        <v>48</v>
      </c>
      <c r="T32">
        <v>42</v>
      </c>
      <c r="U32">
        <v>45</v>
      </c>
      <c r="V32">
        <v>58</v>
      </c>
      <c r="W32">
        <v>51</v>
      </c>
      <c r="X32" s="2">
        <v>64</v>
      </c>
    </row>
    <row r="33" spans="1:40" x14ac:dyDescent="0.35">
      <c r="A33" t="s">
        <v>35</v>
      </c>
      <c r="B33" t="s">
        <v>24</v>
      </c>
      <c r="C33" t="s">
        <v>14</v>
      </c>
      <c r="D33" t="s">
        <v>36</v>
      </c>
      <c r="E33" t="s">
        <v>23</v>
      </c>
      <c r="F33" t="s">
        <v>17</v>
      </c>
      <c r="G33">
        <f>AVERAGE(13,16,19,15)</f>
        <v>15.75</v>
      </c>
      <c r="H33">
        <f>AVERAGE(39,35,28,35,25)</f>
        <v>32.4</v>
      </c>
      <c r="I33">
        <v>495</v>
      </c>
      <c r="J33">
        <v>195</v>
      </c>
      <c r="K33">
        <v>13</v>
      </c>
      <c r="L33" t="s">
        <v>18</v>
      </c>
      <c r="N33">
        <v>5</v>
      </c>
      <c r="O33">
        <v>3</v>
      </c>
      <c r="P33">
        <v>7</v>
      </c>
      <c r="Q33">
        <v>9</v>
      </c>
      <c r="R33">
        <v>12</v>
      </c>
      <c r="S33">
        <v>15</v>
      </c>
      <c r="T33">
        <v>33</v>
      </c>
      <c r="U33">
        <v>22</v>
      </c>
      <c r="V33">
        <v>46</v>
      </c>
      <c r="W33">
        <v>72</v>
      </c>
      <c r="X33">
        <v>84</v>
      </c>
      <c r="Y33">
        <v>98</v>
      </c>
      <c r="Z33">
        <v>100</v>
      </c>
      <c r="AA33">
        <v>162</v>
      </c>
      <c r="AB33">
        <v>218</v>
      </c>
      <c r="AC33">
        <v>254</v>
      </c>
      <c r="AD33">
        <v>276</v>
      </c>
      <c r="AE33">
        <v>300</v>
      </c>
      <c r="AF33">
        <v>305</v>
      </c>
      <c r="AG33">
        <v>314</v>
      </c>
      <c r="AH33">
        <v>327</v>
      </c>
      <c r="AI33">
        <v>353</v>
      </c>
      <c r="AJ33">
        <v>370</v>
      </c>
      <c r="AK33">
        <v>402</v>
      </c>
      <c r="AL33">
        <v>414</v>
      </c>
      <c r="AM33">
        <v>495</v>
      </c>
      <c r="AN33" s="2">
        <v>557</v>
      </c>
    </row>
    <row r="34" spans="1:40" x14ac:dyDescent="0.35">
      <c r="A34" t="s">
        <v>35</v>
      </c>
      <c r="B34" t="s">
        <v>24</v>
      </c>
      <c r="C34" t="s">
        <v>28</v>
      </c>
      <c r="D34" t="s">
        <v>37</v>
      </c>
      <c r="E34" t="s">
        <v>16</v>
      </c>
      <c r="F34" t="s">
        <v>17</v>
      </c>
      <c r="G34">
        <f>AVERAGE(17,12,12,14)</f>
        <v>13.75</v>
      </c>
      <c r="H34">
        <f>AVERAGE(12,16,10,11)</f>
        <v>12.25</v>
      </c>
      <c r="I34">
        <v>281</v>
      </c>
      <c r="J34">
        <v>58</v>
      </c>
      <c r="K34">
        <v>7</v>
      </c>
      <c r="L34" t="s">
        <v>18</v>
      </c>
      <c r="N34">
        <v>10</v>
      </c>
      <c r="O34">
        <v>20</v>
      </c>
      <c r="P34">
        <v>22</v>
      </c>
      <c r="Q34">
        <v>12</v>
      </c>
      <c r="R34">
        <v>18</v>
      </c>
      <c r="S34">
        <v>20</v>
      </c>
      <c r="T34">
        <v>15</v>
      </c>
      <c r="U34">
        <v>20</v>
      </c>
      <c r="V34">
        <v>24</v>
      </c>
      <c r="W34">
        <v>31</v>
      </c>
      <c r="X34">
        <v>36</v>
      </c>
      <c r="Y34">
        <v>50</v>
      </c>
      <c r="Z34">
        <v>102</v>
      </c>
      <c r="AA34">
        <v>208</v>
      </c>
    </row>
    <row r="35" spans="1:40" x14ac:dyDescent="0.35">
      <c r="A35" t="s">
        <v>35</v>
      </c>
      <c r="B35" t="s">
        <v>21</v>
      </c>
      <c r="C35" t="s">
        <v>14</v>
      </c>
      <c r="D35" t="s">
        <v>38</v>
      </c>
      <c r="E35" t="s">
        <v>23</v>
      </c>
      <c r="F35" t="s">
        <v>17</v>
      </c>
      <c r="G35">
        <f>AVERAGE(18,13,13,13)</f>
        <v>14.25</v>
      </c>
      <c r="H35">
        <f>AVERAGE(28,23,26,22)</f>
        <v>24.75</v>
      </c>
      <c r="I35">
        <v>111</v>
      </c>
      <c r="J35">
        <v>53.58</v>
      </c>
      <c r="K35">
        <v>11.5</v>
      </c>
      <c r="L35" t="s">
        <v>18</v>
      </c>
      <c r="N35">
        <v>5</v>
      </c>
      <c r="O35">
        <v>9</v>
      </c>
      <c r="P35">
        <v>15</v>
      </c>
      <c r="Q35">
        <v>21</v>
      </c>
      <c r="R35">
        <v>14</v>
      </c>
      <c r="S35">
        <v>25</v>
      </c>
      <c r="T35">
        <v>31</v>
      </c>
      <c r="U35">
        <v>35</v>
      </c>
      <c r="V35">
        <v>36</v>
      </c>
      <c r="W35">
        <v>35</v>
      </c>
      <c r="X35">
        <v>36</v>
      </c>
      <c r="Y35">
        <v>36</v>
      </c>
      <c r="Z35">
        <v>42</v>
      </c>
      <c r="AA35">
        <v>45</v>
      </c>
      <c r="AB35">
        <v>57</v>
      </c>
      <c r="AC35">
        <v>67</v>
      </c>
      <c r="AD35">
        <v>75</v>
      </c>
      <c r="AE35">
        <v>80</v>
      </c>
      <c r="AF35">
        <v>87</v>
      </c>
      <c r="AG35">
        <v>94</v>
      </c>
      <c r="AH35">
        <v>96</v>
      </c>
      <c r="AI35">
        <v>106</v>
      </c>
      <c r="AJ35">
        <v>111</v>
      </c>
    </row>
    <row r="36" spans="1:40" x14ac:dyDescent="0.35">
      <c r="A36" t="s">
        <v>35</v>
      </c>
      <c r="B36" t="s">
        <v>19</v>
      </c>
      <c r="C36" t="s">
        <v>14</v>
      </c>
      <c r="D36" t="s">
        <v>38</v>
      </c>
      <c r="E36" t="s">
        <v>23</v>
      </c>
      <c r="F36" t="s">
        <v>17</v>
      </c>
      <c r="G36">
        <f>AVERAGE(13,14,10,11,12)</f>
        <v>12</v>
      </c>
      <c r="H36">
        <f>AVERAGE(13,9,12,12,12)</f>
        <v>11.6</v>
      </c>
      <c r="I36">
        <v>191</v>
      </c>
      <c r="J36">
        <v>74.38</v>
      </c>
      <c r="K36">
        <v>8</v>
      </c>
      <c r="L36" t="s">
        <v>18</v>
      </c>
      <c r="N36">
        <v>12</v>
      </c>
      <c r="O36">
        <v>22</v>
      </c>
      <c r="P36">
        <v>25</v>
      </c>
      <c r="Q36">
        <v>28</v>
      </c>
      <c r="R36">
        <v>31</v>
      </c>
      <c r="S36">
        <v>33</v>
      </c>
      <c r="T36">
        <v>40</v>
      </c>
      <c r="U36">
        <v>48</v>
      </c>
      <c r="V36">
        <v>57</v>
      </c>
      <c r="W36">
        <v>77</v>
      </c>
      <c r="X36">
        <v>79</v>
      </c>
      <c r="Y36">
        <v>87</v>
      </c>
      <c r="Z36">
        <v>92</v>
      </c>
      <c r="AA36">
        <v>97</v>
      </c>
      <c r="AB36">
        <v>120</v>
      </c>
      <c r="AC36">
        <v>115</v>
      </c>
      <c r="AD36">
        <v>191</v>
      </c>
    </row>
    <row r="37" spans="1:40" x14ac:dyDescent="0.35">
      <c r="A37" t="s">
        <v>35</v>
      </c>
      <c r="B37" t="s">
        <v>13</v>
      </c>
      <c r="C37" t="s">
        <v>14</v>
      </c>
      <c r="D37" t="s">
        <v>38</v>
      </c>
      <c r="E37" t="s">
        <v>23</v>
      </c>
      <c r="F37" t="s">
        <v>17</v>
      </c>
      <c r="G37">
        <f>AVERAGE(18,24,19,15,16)</f>
        <v>18.399999999999999</v>
      </c>
      <c r="H37">
        <f>AVERAGE(12,18,21,16,17)</f>
        <v>16.8</v>
      </c>
      <c r="I37">
        <v>151</v>
      </c>
      <c r="J37">
        <v>78.69</v>
      </c>
      <c r="K37">
        <v>6.12</v>
      </c>
      <c r="L37" t="s">
        <v>18</v>
      </c>
      <c r="N37">
        <v>20</v>
      </c>
      <c r="O37">
        <v>35</v>
      </c>
      <c r="P37">
        <v>40</v>
      </c>
      <c r="Q37">
        <v>57</v>
      </c>
      <c r="R37">
        <v>63</v>
      </c>
      <c r="S37">
        <v>75</v>
      </c>
      <c r="T37">
        <v>83</v>
      </c>
      <c r="U37">
        <v>85</v>
      </c>
      <c r="V37">
        <v>90</v>
      </c>
      <c r="W37">
        <v>96</v>
      </c>
      <c r="X37">
        <v>111</v>
      </c>
      <c r="Y37">
        <v>117</v>
      </c>
      <c r="Z37">
        <v>151</v>
      </c>
    </row>
    <row r="38" spans="1:40" x14ac:dyDescent="0.35">
      <c r="A38" t="s">
        <v>35</v>
      </c>
      <c r="B38" t="s">
        <v>13</v>
      </c>
      <c r="C38" t="s">
        <v>28</v>
      </c>
      <c r="D38" t="s">
        <v>39</v>
      </c>
      <c r="E38" t="s">
        <v>16</v>
      </c>
      <c r="F38" t="s">
        <v>17</v>
      </c>
      <c r="G38">
        <f>AVERAGE(13,18,12,15,15)</f>
        <v>14.6</v>
      </c>
      <c r="H38">
        <f>AVERAGE(14,5,4,6,6)</f>
        <v>7</v>
      </c>
      <c r="I38">
        <v>53</v>
      </c>
      <c r="J38">
        <v>39.369999999999997</v>
      </c>
      <c r="K38">
        <v>5</v>
      </c>
      <c r="L38" t="s">
        <v>18</v>
      </c>
      <c r="N38">
        <v>42</v>
      </c>
      <c r="O38">
        <v>53</v>
      </c>
      <c r="P38">
        <v>46</v>
      </c>
      <c r="Q38" s="3">
        <v>45</v>
      </c>
      <c r="R38">
        <v>42</v>
      </c>
      <c r="S38">
        <v>20</v>
      </c>
      <c r="T38">
        <v>27</v>
      </c>
      <c r="U38">
        <v>37</v>
      </c>
      <c r="V38">
        <v>44</v>
      </c>
      <c r="W38">
        <v>41</v>
      </c>
      <c r="X38">
        <v>36</v>
      </c>
    </row>
    <row r="39" spans="1:40" x14ac:dyDescent="0.35">
      <c r="A39" t="s">
        <v>35</v>
      </c>
      <c r="B39" t="s">
        <v>24</v>
      </c>
      <c r="C39" t="s">
        <v>28</v>
      </c>
      <c r="D39" t="s">
        <v>39</v>
      </c>
      <c r="E39" t="s">
        <v>16</v>
      </c>
      <c r="F39" t="s">
        <v>17</v>
      </c>
      <c r="G39" t="s">
        <v>40</v>
      </c>
      <c r="H39" t="s">
        <v>40</v>
      </c>
      <c r="I39">
        <v>117</v>
      </c>
      <c r="J39">
        <v>72.099999999999994</v>
      </c>
      <c r="K39">
        <v>4.5</v>
      </c>
      <c r="L39" t="s">
        <v>18</v>
      </c>
      <c r="N39">
        <v>24</v>
      </c>
      <c r="O39">
        <v>33</v>
      </c>
      <c r="P39">
        <v>42</v>
      </c>
      <c r="Q39">
        <v>58</v>
      </c>
      <c r="R39">
        <v>70</v>
      </c>
      <c r="S39">
        <v>90</v>
      </c>
      <c r="T39">
        <v>100</v>
      </c>
      <c r="U39">
        <v>115</v>
      </c>
      <c r="V39">
        <v>117</v>
      </c>
      <c r="W39" s="2">
        <v>197</v>
      </c>
    </row>
    <row r="40" spans="1:40" x14ac:dyDescent="0.35">
      <c r="A40" t="s">
        <v>35</v>
      </c>
      <c r="B40" t="s">
        <v>24</v>
      </c>
      <c r="C40" t="s">
        <v>14</v>
      </c>
      <c r="D40" t="s">
        <v>39</v>
      </c>
      <c r="E40" t="s">
        <v>16</v>
      </c>
      <c r="F40" t="s">
        <v>17</v>
      </c>
      <c r="G40">
        <f>AVERAGE(28,28,27,27)</f>
        <v>27.5</v>
      </c>
      <c r="H40" t="s">
        <v>40</v>
      </c>
      <c r="I40">
        <v>480</v>
      </c>
      <c r="J40">
        <v>312.25</v>
      </c>
      <c r="K40">
        <v>10</v>
      </c>
      <c r="L40" t="s">
        <v>18</v>
      </c>
      <c r="N40">
        <v>18</v>
      </c>
      <c r="O40">
        <v>41</v>
      </c>
      <c r="P40">
        <v>55</v>
      </c>
      <c r="Q40">
        <v>76</v>
      </c>
      <c r="R40">
        <v>106</v>
      </c>
      <c r="S40">
        <v>148</v>
      </c>
      <c r="T40">
        <v>175</v>
      </c>
      <c r="U40">
        <v>220</v>
      </c>
      <c r="V40">
        <v>228</v>
      </c>
      <c r="W40">
        <v>252</v>
      </c>
      <c r="X40">
        <v>279</v>
      </c>
      <c r="Y40">
        <v>325</v>
      </c>
      <c r="Z40">
        <v>333</v>
      </c>
      <c r="AA40">
        <v>340</v>
      </c>
      <c r="AB40">
        <v>358</v>
      </c>
      <c r="AC40">
        <v>385</v>
      </c>
      <c r="AD40">
        <v>430</v>
      </c>
      <c r="AE40">
        <v>466</v>
      </c>
      <c r="AF40">
        <v>471</v>
      </c>
      <c r="AG40" s="2">
        <v>480</v>
      </c>
      <c r="AH40">
        <v>445</v>
      </c>
    </row>
    <row r="41" spans="1:40" x14ac:dyDescent="0.35">
      <c r="A41" t="s">
        <v>35</v>
      </c>
      <c r="B41" t="s">
        <v>24</v>
      </c>
      <c r="C41" t="s">
        <v>14</v>
      </c>
      <c r="D41" t="s">
        <v>41</v>
      </c>
      <c r="E41" t="s">
        <v>40</v>
      </c>
      <c r="F41" t="s">
        <v>17</v>
      </c>
      <c r="G41">
        <f>AVERAGE(12,13,13,13)</f>
        <v>12.75</v>
      </c>
      <c r="H41" t="s">
        <v>40</v>
      </c>
      <c r="I41">
        <v>478</v>
      </c>
      <c r="J41">
        <v>259.55</v>
      </c>
      <c r="K41">
        <v>9.5</v>
      </c>
      <c r="L41" t="s">
        <v>18</v>
      </c>
      <c r="N41">
        <v>28</v>
      </c>
      <c r="O41">
        <v>41</v>
      </c>
      <c r="P41">
        <v>55</v>
      </c>
      <c r="Q41">
        <v>76</v>
      </c>
      <c r="R41">
        <v>106</v>
      </c>
      <c r="S41">
        <v>148</v>
      </c>
      <c r="T41">
        <v>175</v>
      </c>
      <c r="U41">
        <v>220</v>
      </c>
      <c r="V41">
        <v>228</v>
      </c>
      <c r="W41">
        <v>259</v>
      </c>
      <c r="X41">
        <v>279</v>
      </c>
      <c r="Y41">
        <v>325</v>
      </c>
      <c r="Z41">
        <v>333</v>
      </c>
      <c r="AA41">
        <v>344</v>
      </c>
      <c r="AB41">
        <v>355</v>
      </c>
      <c r="AC41">
        <v>374</v>
      </c>
      <c r="AD41">
        <v>430</v>
      </c>
      <c r="AE41">
        <v>466</v>
      </c>
      <c r="AF41">
        <v>471</v>
      </c>
      <c r="AG41">
        <v>478</v>
      </c>
    </row>
    <row r="42" spans="1:40" x14ac:dyDescent="0.35">
      <c r="A42" t="s">
        <v>35</v>
      </c>
      <c r="B42" t="s">
        <v>21</v>
      </c>
      <c r="C42" t="s">
        <v>28</v>
      </c>
      <c r="D42" t="s">
        <v>41</v>
      </c>
      <c r="E42" t="s">
        <v>40</v>
      </c>
      <c r="F42" t="s">
        <v>17</v>
      </c>
      <c r="G42">
        <f>AVERAGE(13,15,13,12)</f>
        <v>13.25</v>
      </c>
      <c r="H42">
        <f>AVERAGE(9,9,11,9)</f>
        <v>9.5</v>
      </c>
      <c r="I42">
        <v>98</v>
      </c>
      <c r="J42">
        <v>59.82</v>
      </c>
      <c r="K42">
        <v>5.43</v>
      </c>
      <c r="L42" t="s">
        <v>18</v>
      </c>
      <c r="N42">
        <v>40</v>
      </c>
      <c r="O42">
        <v>45</v>
      </c>
      <c r="P42">
        <v>46</v>
      </c>
      <c r="Q42" s="3">
        <v>45</v>
      </c>
      <c r="R42">
        <v>45</v>
      </c>
      <c r="S42">
        <v>46</v>
      </c>
      <c r="T42">
        <v>64</v>
      </c>
      <c r="U42">
        <v>71</v>
      </c>
      <c r="V42">
        <v>77</v>
      </c>
      <c r="W42">
        <v>81</v>
      </c>
      <c r="X42">
        <v>98</v>
      </c>
    </row>
    <row r="43" spans="1:40" x14ac:dyDescent="0.35">
      <c r="A43" t="s">
        <v>35</v>
      </c>
      <c r="B43" t="s">
        <v>24</v>
      </c>
      <c r="C43" t="s">
        <v>14</v>
      </c>
      <c r="D43" t="s">
        <v>41</v>
      </c>
      <c r="E43" t="s">
        <v>40</v>
      </c>
      <c r="F43" t="s">
        <v>17</v>
      </c>
      <c r="G43">
        <f>AVERAGE(24,14,18,24)</f>
        <v>20</v>
      </c>
      <c r="H43">
        <f>AVERAGE(12,10)</f>
        <v>11</v>
      </c>
      <c r="I43">
        <v>307</v>
      </c>
      <c r="J43">
        <v>152.19999999999999</v>
      </c>
      <c r="K43">
        <v>9.5</v>
      </c>
      <c r="L43" t="s">
        <v>18</v>
      </c>
      <c r="N43">
        <v>65</v>
      </c>
      <c r="O43">
        <v>71</v>
      </c>
      <c r="P43">
        <v>70</v>
      </c>
      <c r="Q43" s="3">
        <v>64</v>
      </c>
      <c r="R43">
        <v>63</v>
      </c>
      <c r="S43">
        <v>62</v>
      </c>
      <c r="T43">
        <v>75</v>
      </c>
      <c r="U43">
        <v>82</v>
      </c>
      <c r="V43">
        <v>104</v>
      </c>
      <c r="W43">
        <v>144</v>
      </c>
      <c r="X43">
        <v>164</v>
      </c>
      <c r="Y43">
        <v>186</v>
      </c>
      <c r="Z43">
        <v>218</v>
      </c>
      <c r="AA43">
        <v>281</v>
      </c>
      <c r="AB43">
        <v>187</v>
      </c>
      <c r="AC43">
        <v>183</v>
      </c>
      <c r="AD43">
        <v>307</v>
      </c>
      <c r="AE43">
        <v>223</v>
      </c>
      <c r="AF43">
        <v>223</v>
      </c>
      <c r="AG43">
        <v>272</v>
      </c>
    </row>
    <row r="44" spans="1:40" x14ac:dyDescent="0.35">
      <c r="A44" t="s">
        <v>35</v>
      </c>
      <c r="B44" t="s">
        <v>24</v>
      </c>
      <c r="C44" t="s">
        <v>28</v>
      </c>
      <c r="D44" t="s">
        <v>42</v>
      </c>
      <c r="E44" t="s">
        <v>40</v>
      </c>
      <c r="F44" t="s">
        <v>17</v>
      </c>
      <c r="G44" t="s">
        <v>40</v>
      </c>
      <c r="H44" t="s">
        <v>40</v>
      </c>
      <c r="I44">
        <v>164</v>
      </c>
      <c r="J44">
        <v>46.25</v>
      </c>
      <c r="K44">
        <v>5</v>
      </c>
      <c r="L44" t="s">
        <v>18</v>
      </c>
      <c r="N44">
        <v>7</v>
      </c>
      <c r="O44">
        <v>10</v>
      </c>
      <c r="P44">
        <v>16</v>
      </c>
      <c r="Q44" s="3">
        <v>28</v>
      </c>
      <c r="R44">
        <v>45</v>
      </c>
      <c r="S44">
        <v>55</v>
      </c>
      <c r="T44">
        <v>55</v>
      </c>
      <c r="U44">
        <v>72</v>
      </c>
      <c r="V44">
        <v>89</v>
      </c>
      <c r="W44">
        <v>140</v>
      </c>
      <c r="X44">
        <v>164</v>
      </c>
    </row>
    <row r="45" spans="1:40" x14ac:dyDescent="0.35">
      <c r="A45" t="s">
        <v>35</v>
      </c>
      <c r="B45" t="s">
        <v>21</v>
      </c>
      <c r="C45" t="s">
        <v>14</v>
      </c>
      <c r="D45" t="s">
        <v>42</v>
      </c>
      <c r="E45" t="s">
        <v>40</v>
      </c>
      <c r="F45" t="s">
        <v>17</v>
      </c>
      <c r="G45">
        <f>AVERAGE(17,15,11,11,15)</f>
        <v>13.8</v>
      </c>
      <c r="H45">
        <f>AVERAGE(11,12,11,7,10)</f>
        <v>10.199999999999999</v>
      </c>
      <c r="I45">
        <v>111</v>
      </c>
      <c r="J45">
        <v>53.42</v>
      </c>
      <c r="K45">
        <v>9.27</v>
      </c>
      <c r="L45" t="s">
        <v>18</v>
      </c>
      <c r="N45">
        <v>27</v>
      </c>
      <c r="O45">
        <v>12</v>
      </c>
      <c r="P45">
        <v>22</v>
      </c>
      <c r="Q45">
        <v>28</v>
      </c>
      <c r="R45">
        <v>35</v>
      </c>
      <c r="S45">
        <v>33</v>
      </c>
      <c r="T45">
        <v>35</v>
      </c>
      <c r="U45">
        <v>36</v>
      </c>
      <c r="V45">
        <v>36</v>
      </c>
      <c r="W45">
        <v>41</v>
      </c>
      <c r="X45">
        <v>45</v>
      </c>
      <c r="Y45">
        <v>51</v>
      </c>
      <c r="Z45">
        <v>66</v>
      </c>
      <c r="AA45">
        <v>75</v>
      </c>
      <c r="AB45">
        <v>75</v>
      </c>
      <c r="AC45">
        <v>87</v>
      </c>
      <c r="AD45">
        <v>96</v>
      </c>
      <c r="AE45">
        <v>104</v>
      </c>
      <c r="AF45">
        <v>111</v>
      </c>
      <c r="AG45">
        <v>157</v>
      </c>
    </row>
    <row r="46" spans="1:40" x14ac:dyDescent="0.35">
      <c r="A46" t="s">
        <v>35</v>
      </c>
      <c r="B46" t="s">
        <v>24</v>
      </c>
      <c r="C46" t="s">
        <v>28</v>
      </c>
      <c r="D46" t="s">
        <v>42</v>
      </c>
      <c r="E46" t="s">
        <v>40</v>
      </c>
      <c r="F46" t="s">
        <v>17</v>
      </c>
      <c r="G46" t="s">
        <v>40</v>
      </c>
      <c r="H46" t="s">
        <v>40</v>
      </c>
      <c r="I46">
        <v>70</v>
      </c>
      <c r="J46">
        <v>30.2</v>
      </c>
      <c r="K46">
        <v>5.6</v>
      </c>
      <c r="L46" t="s">
        <v>18</v>
      </c>
      <c r="N46">
        <v>27</v>
      </c>
      <c r="O46">
        <v>7</v>
      </c>
      <c r="P46">
        <v>14</v>
      </c>
      <c r="Q46">
        <v>19</v>
      </c>
      <c r="R46">
        <v>16</v>
      </c>
      <c r="S46">
        <v>19</v>
      </c>
      <c r="T46">
        <v>20</v>
      </c>
      <c r="U46">
        <v>24</v>
      </c>
      <c r="V46">
        <v>33</v>
      </c>
      <c r="W46">
        <v>42</v>
      </c>
      <c r="X46">
        <v>45</v>
      </c>
      <c r="Y46">
        <v>70</v>
      </c>
      <c r="Z46">
        <v>83</v>
      </c>
    </row>
    <row r="47" spans="1:40" x14ac:dyDescent="0.35">
      <c r="A47" t="s">
        <v>35</v>
      </c>
      <c r="B47" t="s">
        <v>24</v>
      </c>
      <c r="C47" t="s">
        <v>14</v>
      </c>
      <c r="D47" t="s">
        <v>43</v>
      </c>
      <c r="E47" t="s">
        <v>23</v>
      </c>
      <c r="F47" t="s">
        <v>17</v>
      </c>
      <c r="G47">
        <f>AVERAGE(6,8,7,8)</f>
        <v>7.25</v>
      </c>
      <c r="H47">
        <f>AVERAGE(6,11,10,10,10)</f>
        <v>9.4</v>
      </c>
      <c r="I47">
        <v>357</v>
      </c>
      <c r="J47">
        <v>228.62</v>
      </c>
      <c r="K47">
        <v>7</v>
      </c>
      <c r="L47" t="s">
        <v>18</v>
      </c>
      <c r="N47">
        <v>54</v>
      </c>
      <c r="O47">
        <v>79</v>
      </c>
      <c r="P47">
        <v>90</v>
      </c>
      <c r="Q47">
        <v>90</v>
      </c>
      <c r="R47">
        <v>120</v>
      </c>
      <c r="S47">
        <v>188</v>
      </c>
      <c r="T47">
        <v>223</v>
      </c>
      <c r="U47">
        <v>274</v>
      </c>
      <c r="V47">
        <v>283</v>
      </c>
      <c r="W47">
        <v>303</v>
      </c>
      <c r="X47">
        <v>307</v>
      </c>
      <c r="Y47">
        <v>318</v>
      </c>
      <c r="Z47">
        <v>340</v>
      </c>
      <c r="AA47">
        <v>357</v>
      </c>
      <c r="AB47">
        <v>430</v>
      </c>
    </row>
    <row r="48" spans="1:40" x14ac:dyDescent="0.35">
      <c r="A48" t="s">
        <v>35</v>
      </c>
      <c r="B48" t="s">
        <v>24</v>
      </c>
      <c r="C48" t="s">
        <v>28</v>
      </c>
      <c r="D48" t="s">
        <v>44</v>
      </c>
      <c r="E48" t="s">
        <v>40</v>
      </c>
      <c r="F48" t="s">
        <v>17</v>
      </c>
      <c r="G48" t="s">
        <v>40</v>
      </c>
      <c r="H48" t="s">
        <v>40</v>
      </c>
      <c r="I48">
        <v>66</v>
      </c>
      <c r="J48">
        <v>48.8</v>
      </c>
      <c r="K48">
        <v>5.36</v>
      </c>
      <c r="L48" t="s">
        <v>18</v>
      </c>
      <c r="N48">
        <v>25</v>
      </c>
      <c r="O48">
        <v>35</v>
      </c>
      <c r="P48">
        <v>45</v>
      </c>
      <c r="Q48">
        <v>45</v>
      </c>
      <c r="R48">
        <v>45</v>
      </c>
      <c r="S48">
        <v>46</v>
      </c>
      <c r="T48">
        <v>49</v>
      </c>
      <c r="U48">
        <v>53</v>
      </c>
      <c r="V48">
        <v>54</v>
      </c>
      <c r="W48">
        <v>54</v>
      </c>
      <c r="X48">
        <v>62</v>
      </c>
      <c r="Y48">
        <v>66</v>
      </c>
    </row>
    <row r="50" spans="21:21" x14ac:dyDescent="0.35">
      <c r="U50" s="1"/>
    </row>
  </sheetData>
  <autoFilter ref="B2:B32" xr:uid="{00000000-0001-0000-0000-000000000000}"/>
  <mergeCells count="2">
    <mergeCell ref="A1:L1"/>
    <mergeCell ref="M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 summary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 Nunn</dc:creator>
  <cp:lastModifiedBy>Garrett Nunn</cp:lastModifiedBy>
  <dcterms:created xsi:type="dcterms:W3CDTF">2026-01-19T19:32:42Z</dcterms:created>
  <dcterms:modified xsi:type="dcterms:W3CDTF">2026-01-20T19:52:40Z</dcterms:modified>
</cp:coreProperties>
</file>